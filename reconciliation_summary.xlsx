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ositaRos\Desktop\projects\Job Experience\job_projects\hifly_labs_Data Pipeline Analyst\"/>
    </mc:Choice>
  </mc:AlternateContent>
  <xr:revisionPtr revIDLastSave="0" documentId="13_ncr:1_{F9F6F573-8273-4739-85D8-124C96C5ABAE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Reconciliation Summary" sheetId="1" r:id="rId1"/>
    <sheet name="Issue Detai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" i="1" l="1"/>
  <c r="E12" i="1"/>
  <c r="D12" i="1"/>
  <c r="C12" i="1"/>
  <c r="B12" i="1"/>
  <c r="H11" i="1"/>
  <c r="G11" i="1"/>
  <c r="H10" i="1"/>
  <c r="G10" i="1"/>
  <c r="H9" i="1"/>
  <c r="G9" i="1"/>
  <c r="H8" i="1"/>
  <c r="G8" i="1"/>
  <c r="H7" i="1"/>
  <c r="G7" i="1"/>
  <c r="H6" i="1"/>
  <c r="G6" i="1"/>
  <c r="G12" i="1" s="1"/>
</calcChain>
</file>

<file path=xl/sharedStrings.xml><?xml version="1.0" encoding="utf-8"?>
<sst xmlns="http://schemas.openxmlformats.org/spreadsheetml/2006/main" count="83" uniqueCount="69">
  <si>
    <t>Northwind ETL Migration — Data Reconciliation Summary</t>
  </si>
  <si>
    <t>Stakeholder summary of data quality findings and resolutions across the migration</t>
  </si>
  <si>
    <t>Table</t>
  </si>
  <si>
    <t>Total Source Records</t>
  </si>
  <si>
    <t>Duplicates Removed</t>
  </si>
  <si>
    <t>Records Set Aside (Invalid)</t>
  </si>
  <si>
    <t>Records Corrected</t>
  </si>
  <si>
    <t>Records Flagged for Review</t>
  </si>
  <si>
    <t>Final Records in Curated Layer</t>
  </si>
  <si>
    <t>Status</t>
  </si>
  <si>
    <t>Customers</t>
  </si>
  <si>
    <t>Orders</t>
  </si>
  <si>
    <t>Order Details</t>
  </si>
  <si>
    <t>Products</t>
  </si>
  <si>
    <t>Suppliers</t>
  </si>
  <si>
    <t>Categories</t>
  </si>
  <si>
    <t>TOTAL</t>
  </si>
  <si>
    <t>Notes:</t>
  </si>
  <si>
    <t>Corresponds to the 7 confirmed data-quality findings and their resolutions</t>
  </si>
  <si>
    <t>Issue</t>
  </si>
  <si>
    <t>Plain-Language Description</t>
  </si>
  <si>
    <t>Table(s) Affected</t>
  </si>
  <si>
    <t>Records Affected</t>
  </si>
  <si>
    <t>Action Taken</t>
  </si>
  <si>
    <t>Reference</t>
  </si>
  <si>
    <t>Duplicate customer records</t>
  </si>
  <si>
    <t>The same customer appeared more than once in the data.</t>
  </si>
  <si>
    <t>Duplicate entries removed; one clean record kept per customer.</t>
  </si>
  <si>
    <t>DQ-05</t>
  </si>
  <si>
    <t>Missing company name</t>
  </si>
  <si>
    <t>Some customer records had no company name on file.</t>
  </si>
  <si>
    <t>Left blank rather than guessed; flagged so the business team can follow up with the source system.</t>
  </si>
  <si>
    <t>DQ-06</t>
  </si>
  <si>
    <t>Invalid product reference</t>
  </si>
  <si>
    <t>An order line referenced a product that no longer exists in the product catalog.</t>
  </si>
  <si>
    <t>Set aside for manual review; excluded from reporting until resolved.</t>
  </si>
  <si>
    <t>DQ-02</t>
  </si>
  <si>
    <t>Invalid quantity</t>
  </si>
  <si>
    <t>An order line had a negative quantity, which isn't a valid order state.</t>
  </si>
  <si>
    <t>DQ-03</t>
  </si>
  <si>
    <t>Invalid product price</t>
  </si>
  <si>
    <t>One product had a negative price on file.</t>
  </si>
  <si>
    <t>DQ-04</t>
  </si>
  <si>
    <t>Future-dated orders</t>
  </si>
  <si>
    <t>Two orders had a placement date in the future.</t>
  </si>
  <si>
    <t>Flagged for follow-up; excluded from date-based reports until confirmed.</t>
  </si>
  <si>
    <t>DQ-01</t>
  </si>
  <si>
    <t>Unmatched customer reference</t>
  </si>
  <si>
    <t>One order referenced a customer that doesn't exist in the customer table.</t>
  </si>
  <si>
    <t>DQ-07</t>
  </si>
  <si>
    <t>Additional Observations (Not Defects)</t>
  </si>
  <si>
    <t>Observation</t>
  </si>
  <si>
    <t>Conclusion</t>
  </si>
  <si>
    <t>Missing region/fax</t>
  </si>
  <si>
    <t>Some customer and supplier records have no region or fax number on file.</t>
  </si>
  <si>
    <t>Customers, Suppliers</t>
  </si>
  <si>
    <t>Missing shipped date</t>
  </si>
  <si>
    <t>Some orders have no shipment date recorded.</t>
  </si>
  <si>
    <t>DQ-11</t>
  </si>
  <si>
    <t>"Records Flagged for Review" remain visible in the curated data but are marked for follow-up (e.g. missing company name, future order date).</t>
  </si>
  <si>
    <t>"Records Set Aside" = excluded from reporting pending investigation, not deleted  fully recoverable.</t>
  </si>
  <si>
    <t>"Pass – Review Recommended" means the table is usable for reporting today, with a small number of records worth a manual look.</t>
  </si>
  <si>
    <t>Six additional minor gaps (e.g. missing region/fax on some customer records) were also reviewed and found to be normal, pre-existing gaps in the source data not migration defects. See Issue Detail tab.</t>
  </si>
  <si>
    <t>Issue Detail; Business Language Summary</t>
  </si>
  <si>
    <t>Normal, pre-existing gaps</t>
  </si>
  <si>
    <t>Expected, these orders had not yet shipped as of the data extract. No action needed.</t>
  </si>
  <si>
    <t>DQ-08-10</t>
  </si>
  <si>
    <t>Corrected automatically sign error identified and fixed.</t>
  </si>
  <si>
    <t>Prepared as part of Step 7, see Issue Detail tab for full descriptions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</si>
</sst>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1"/>
      <color rgb="FF000000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b/>
      <sz val="11"/>
      <color rgb="FF9C6500"/>
      <name val="Arial"/>
      <charset val="1"/>
    </font>
    <font>
      <b/>
      <sz val="11"/>
      <color rgb="FF006100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2"/>
      <color rgb="FF1F4E78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9E1F2"/>
      </patternFill>
    </fill>
    <fill>
      <patternFill patternType="solid">
        <fgColor rgb="FFD9E1F2"/>
        <bgColor rgb="FFC6EFCE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2" fillId="0" borderId="0" xfId="0" applyFont="1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right"/>
    </xf>
    <xf numFmtId="0" fontId="0" fillId="5" borderId="1" xfId="0" applyFill="1" applyBorder="1"/>
    <xf numFmtId="0" fontId="9" fillId="0" borderId="0" xfId="0" applyFont="1"/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zoomScaleNormal="100" workbookViewId="0">
      <pane ySplit="5" topLeftCell="A6" activePane="bottomLeft" state="frozen"/>
      <selection pane="bottomLeft" activeCell="A3" sqref="A3:H3"/>
    </sheetView>
  </sheetViews>
  <sheetFormatPr defaultColWidth="8.6328125" defaultRowHeight="14.5" x14ac:dyDescent="0.35"/>
  <cols>
    <col min="1" max="1" width="16" customWidth="1"/>
    <col min="2" max="2" width="18" customWidth="1"/>
    <col min="3" max="3" width="16" customWidth="1"/>
    <col min="4" max="4" width="22" customWidth="1"/>
    <col min="5" max="5" width="16" customWidth="1"/>
    <col min="6" max="6" width="20" customWidth="1"/>
    <col min="7" max="7" width="22" customWidth="1"/>
    <col min="8" max="8" width="29.6328125" bestFit="1" customWidth="1"/>
  </cols>
  <sheetData>
    <row r="1" spans="1:8" ht="20" x14ac:dyDescent="0.4">
      <c r="A1" s="3" t="s">
        <v>0</v>
      </c>
      <c r="B1" s="3"/>
      <c r="C1" s="3"/>
      <c r="D1" s="3"/>
      <c r="E1" s="3"/>
      <c r="F1" s="3"/>
      <c r="G1" s="3"/>
      <c r="H1" s="3"/>
    </row>
    <row r="2" spans="1:8" x14ac:dyDescent="0.3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35">
      <c r="A3" s="2" t="s">
        <v>68</v>
      </c>
      <c r="B3" s="2"/>
      <c r="C3" s="2"/>
      <c r="D3" s="2"/>
      <c r="E3" s="2"/>
      <c r="F3" s="2"/>
      <c r="G3" s="2"/>
      <c r="H3" s="2"/>
    </row>
    <row r="5" spans="1:8" ht="28" x14ac:dyDescent="0.3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1:8" x14ac:dyDescent="0.35">
      <c r="A6" s="5" t="s">
        <v>10</v>
      </c>
      <c r="B6" s="6">
        <v>93</v>
      </c>
      <c r="C6" s="6">
        <v>2</v>
      </c>
      <c r="D6" s="6">
        <v>0</v>
      </c>
      <c r="E6" s="6">
        <v>0</v>
      </c>
      <c r="F6" s="6">
        <v>2</v>
      </c>
      <c r="G6" s="7">
        <f t="shared" ref="G6:G11" si="0">B6-C6-D6</f>
        <v>91</v>
      </c>
      <c r="H6" s="8" t="str">
        <f t="shared" ref="H6:H11" si="1">IF(F6&gt;0,"Pass – Review Recommended","Pass")</f>
        <v>Pass – Review Recommended</v>
      </c>
    </row>
    <row r="7" spans="1:8" x14ac:dyDescent="0.35">
      <c r="A7" s="5" t="s">
        <v>11</v>
      </c>
      <c r="B7" s="6">
        <v>830</v>
      </c>
      <c r="C7" s="6">
        <v>0</v>
      </c>
      <c r="D7" s="6">
        <v>1</v>
      </c>
      <c r="E7" s="6">
        <v>0</v>
      </c>
      <c r="F7" s="6">
        <v>2</v>
      </c>
      <c r="G7" s="7">
        <f t="shared" si="0"/>
        <v>829</v>
      </c>
      <c r="H7" s="8" t="str">
        <f t="shared" si="1"/>
        <v>Pass – Review Recommended</v>
      </c>
    </row>
    <row r="8" spans="1:8" x14ac:dyDescent="0.35">
      <c r="A8" s="5" t="s">
        <v>12</v>
      </c>
      <c r="B8" s="6">
        <v>2155</v>
      </c>
      <c r="C8" s="6">
        <v>0</v>
      </c>
      <c r="D8" s="6">
        <v>2</v>
      </c>
      <c r="E8" s="6">
        <v>0</v>
      </c>
      <c r="F8" s="6">
        <v>0</v>
      </c>
      <c r="G8" s="7">
        <f t="shared" si="0"/>
        <v>2153</v>
      </c>
      <c r="H8" s="9" t="str">
        <f t="shared" si="1"/>
        <v>Pass</v>
      </c>
    </row>
    <row r="9" spans="1:8" x14ac:dyDescent="0.35">
      <c r="A9" s="5" t="s">
        <v>13</v>
      </c>
      <c r="B9" s="6">
        <v>77</v>
      </c>
      <c r="C9" s="6">
        <v>0</v>
      </c>
      <c r="D9" s="6">
        <v>0</v>
      </c>
      <c r="E9" s="6">
        <v>1</v>
      </c>
      <c r="F9" s="6">
        <v>0</v>
      </c>
      <c r="G9" s="7">
        <f t="shared" si="0"/>
        <v>77</v>
      </c>
      <c r="H9" s="9" t="str">
        <f t="shared" si="1"/>
        <v>Pass</v>
      </c>
    </row>
    <row r="10" spans="1:8" x14ac:dyDescent="0.35">
      <c r="A10" s="5" t="s">
        <v>14</v>
      </c>
      <c r="B10" s="6">
        <v>29</v>
      </c>
      <c r="C10" s="6">
        <v>0</v>
      </c>
      <c r="D10" s="6">
        <v>0</v>
      </c>
      <c r="E10" s="6">
        <v>0</v>
      </c>
      <c r="F10" s="6">
        <v>0</v>
      </c>
      <c r="G10" s="7">
        <f t="shared" si="0"/>
        <v>29</v>
      </c>
      <c r="H10" s="9" t="str">
        <f t="shared" si="1"/>
        <v>Pass</v>
      </c>
    </row>
    <row r="11" spans="1:8" x14ac:dyDescent="0.35">
      <c r="A11" s="5" t="s">
        <v>15</v>
      </c>
      <c r="B11" s="6">
        <v>8</v>
      </c>
      <c r="C11" s="6">
        <v>0</v>
      </c>
      <c r="D11" s="6">
        <v>0</v>
      </c>
      <c r="E11" s="6">
        <v>0</v>
      </c>
      <c r="F11" s="6">
        <v>0</v>
      </c>
      <c r="G11" s="7">
        <f t="shared" si="0"/>
        <v>8</v>
      </c>
      <c r="H11" s="9" t="str">
        <f t="shared" si="1"/>
        <v>Pass</v>
      </c>
    </row>
    <row r="12" spans="1:8" x14ac:dyDescent="0.35">
      <c r="A12" s="10" t="s">
        <v>16</v>
      </c>
      <c r="B12" s="11">
        <f t="shared" ref="B12:G12" si="2">SUM(B6:B11)</f>
        <v>3192</v>
      </c>
      <c r="C12" s="11">
        <f t="shared" si="2"/>
        <v>2</v>
      </c>
      <c r="D12" s="11">
        <f t="shared" si="2"/>
        <v>3</v>
      </c>
      <c r="E12" s="11">
        <f t="shared" si="2"/>
        <v>1</v>
      </c>
      <c r="F12" s="11">
        <f t="shared" si="2"/>
        <v>4</v>
      </c>
      <c r="G12" s="11">
        <f t="shared" si="2"/>
        <v>3187</v>
      </c>
      <c r="H12" s="12"/>
    </row>
    <row r="14" spans="1:8" x14ac:dyDescent="0.35">
      <c r="A14" s="13" t="s">
        <v>17</v>
      </c>
    </row>
    <row r="15" spans="1:8" x14ac:dyDescent="0.35">
      <c r="A15" s="2" t="s">
        <v>60</v>
      </c>
      <c r="B15" s="2"/>
      <c r="C15" s="2"/>
      <c r="D15" s="2"/>
      <c r="E15" s="2"/>
      <c r="F15" s="2"/>
      <c r="G15" s="2"/>
      <c r="H15" s="2"/>
    </row>
    <row r="16" spans="1:8" x14ac:dyDescent="0.35">
      <c r="A16" s="2" t="s">
        <v>59</v>
      </c>
      <c r="B16" s="2"/>
      <c r="C16" s="2"/>
      <c r="D16" s="2"/>
      <c r="E16" s="2"/>
      <c r="F16" s="2"/>
      <c r="G16" s="2"/>
      <c r="H16" s="2"/>
    </row>
    <row r="17" spans="1:8" x14ac:dyDescent="0.35">
      <c r="A17" s="2" t="s">
        <v>61</v>
      </c>
      <c r="B17" s="2"/>
      <c r="C17" s="2"/>
      <c r="D17" s="2"/>
      <c r="E17" s="2"/>
      <c r="F17" s="2"/>
      <c r="G17" s="2"/>
      <c r="H17" s="2"/>
    </row>
    <row r="18" spans="1:8" x14ac:dyDescent="0.35">
      <c r="A18" s="2" t="s">
        <v>62</v>
      </c>
      <c r="B18" s="2"/>
      <c r="C18" s="2"/>
      <c r="D18" s="2"/>
      <c r="E18" s="2"/>
      <c r="F18" s="2"/>
      <c r="G18" s="2"/>
      <c r="H18" s="2"/>
    </row>
  </sheetData>
  <mergeCells count="7">
    <mergeCell ref="A17:H17"/>
    <mergeCell ref="A18:H18"/>
    <mergeCell ref="A1:H1"/>
    <mergeCell ref="A2:H2"/>
    <mergeCell ref="A3:H3"/>
    <mergeCell ref="A15:H15"/>
    <mergeCell ref="A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zoomScaleNormal="100" workbookViewId="0">
      <pane ySplit="4" topLeftCell="A5" activePane="bottomLeft" state="frozen"/>
      <selection pane="bottomLeft" activeCell="E9" sqref="E9"/>
    </sheetView>
  </sheetViews>
  <sheetFormatPr defaultColWidth="8.6328125" defaultRowHeight="14.5" x14ac:dyDescent="0.35"/>
  <cols>
    <col min="1" max="1" width="26" customWidth="1"/>
    <col min="2" max="2" width="46" customWidth="1"/>
    <col min="3" max="4" width="16" customWidth="1"/>
    <col min="5" max="5" width="46" customWidth="1"/>
    <col min="6" max="6" width="12" customWidth="1"/>
  </cols>
  <sheetData>
    <row r="1" spans="1:6" ht="20" x14ac:dyDescent="0.4">
      <c r="A1" s="3" t="s">
        <v>63</v>
      </c>
      <c r="B1" s="3"/>
      <c r="C1" s="3"/>
      <c r="D1" s="3"/>
      <c r="E1" s="3"/>
      <c r="F1" s="3"/>
    </row>
    <row r="2" spans="1:6" x14ac:dyDescent="0.35">
      <c r="A2" s="2" t="s">
        <v>18</v>
      </c>
      <c r="B2" s="2"/>
      <c r="C2" s="2"/>
      <c r="D2" s="2"/>
      <c r="E2" s="2"/>
      <c r="F2" s="2"/>
    </row>
    <row r="4" spans="1:6" ht="28" x14ac:dyDescent="0.35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</row>
    <row r="5" spans="1:6" ht="28" x14ac:dyDescent="0.35">
      <c r="A5" s="14" t="s">
        <v>25</v>
      </c>
      <c r="B5" s="15" t="s">
        <v>26</v>
      </c>
      <c r="C5" s="15" t="s">
        <v>10</v>
      </c>
      <c r="D5" s="16">
        <v>2</v>
      </c>
      <c r="E5" s="15" t="s">
        <v>27</v>
      </c>
      <c r="F5" s="15" t="s">
        <v>28</v>
      </c>
    </row>
    <row r="6" spans="1:6" ht="42" x14ac:dyDescent="0.35">
      <c r="A6" s="14" t="s">
        <v>29</v>
      </c>
      <c r="B6" s="15" t="s">
        <v>30</v>
      </c>
      <c r="C6" s="15" t="s">
        <v>10</v>
      </c>
      <c r="D6" s="16">
        <v>2</v>
      </c>
      <c r="E6" s="15" t="s">
        <v>31</v>
      </c>
      <c r="F6" s="15" t="s">
        <v>32</v>
      </c>
    </row>
    <row r="7" spans="1:6" ht="28" x14ac:dyDescent="0.35">
      <c r="A7" s="14" t="s">
        <v>33</v>
      </c>
      <c r="B7" s="15" t="s">
        <v>34</v>
      </c>
      <c r="C7" s="15" t="s">
        <v>12</v>
      </c>
      <c r="D7" s="16">
        <v>1</v>
      </c>
      <c r="E7" s="15" t="s">
        <v>35</v>
      </c>
      <c r="F7" s="15" t="s">
        <v>36</v>
      </c>
    </row>
    <row r="8" spans="1:6" ht="28" x14ac:dyDescent="0.35">
      <c r="A8" s="14" t="s">
        <v>37</v>
      </c>
      <c r="B8" s="15" t="s">
        <v>38</v>
      </c>
      <c r="C8" s="15" t="s">
        <v>12</v>
      </c>
      <c r="D8" s="16">
        <v>1</v>
      </c>
      <c r="E8" s="15" t="s">
        <v>35</v>
      </c>
      <c r="F8" s="15" t="s">
        <v>39</v>
      </c>
    </row>
    <row r="9" spans="1:6" ht="28" x14ac:dyDescent="0.35">
      <c r="A9" s="14" t="s">
        <v>40</v>
      </c>
      <c r="B9" s="15" t="s">
        <v>41</v>
      </c>
      <c r="C9" s="15" t="s">
        <v>13</v>
      </c>
      <c r="D9" s="16">
        <v>1</v>
      </c>
      <c r="E9" s="15" t="s">
        <v>67</v>
      </c>
      <c r="F9" s="15" t="s">
        <v>42</v>
      </c>
    </row>
    <row r="10" spans="1:6" ht="28" x14ac:dyDescent="0.35">
      <c r="A10" s="14" t="s">
        <v>43</v>
      </c>
      <c r="B10" s="15" t="s">
        <v>44</v>
      </c>
      <c r="C10" s="15" t="s">
        <v>11</v>
      </c>
      <c r="D10" s="16">
        <v>2</v>
      </c>
      <c r="E10" s="15" t="s">
        <v>45</v>
      </c>
      <c r="F10" s="15" t="s">
        <v>46</v>
      </c>
    </row>
    <row r="11" spans="1:6" ht="28" x14ac:dyDescent="0.35">
      <c r="A11" s="14" t="s">
        <v>47</v>
      </c>
      <c r="B11" s="15" t="s">
        <v>48</v>
      </c>
      <c r="C11" s="15" t="s">
        <v>11</v>
      </c>
      <c r="D11" s="16">
        <v>1</v>
      </c>
      <c r="E11" s="15" t="s">
        <v>35</v>
      </c>
      <c r="F11" s="15" t="s">
        <v>49</v>
      </c>
    </row>
    <row r="14" spans="1:6" ht="15.5" x14ac:dyDescent="0.35">
      <c r="A14" s="1" t="s">
        <v>50</v>
      </c>
      <c r="B14" s="1"/>
      <c r="C14" s="1"/>
      <c r="D14" s="1"/>
      <c r="E14" s="1"/>
      <c r="F14" s="1"/>
    </row>
    <row r="15" spans="1:6" ht="28" x14ac:dyDescent="0.35">
      <c r="A15" s="4" t="s">
        <v>51</v>
      </c>
      <c r="B15" s="4" t="s">
        <v>20</v>
      </c>
      <c r="C15" s="4" t="s">
        <v>21</v>
      </c>
      <c r="D15" s="4" t="s">
        <v>22</v>
      </c>
      <c r="E15" s="4" t="s">
        <v>52</v>
      </c>
      <c r="F15" s="4" t="s">
        <v>24</v>
      </c>
    </row>
    <row r="16" spans="1:6" ht="28" x14ac:dyDescent="0.35">
      <c r="A16" s="14" t="s">
        <v>53</v>
      </c>
      <c r="B16" s="15" t="s">
        <v>54</v>
      </c>
      <c r="C16" s="15" t="s">
        <v>55</v>
      </c>
      <c r="D16" s="16">
        <v>104</v>
      </c>
      <c r="E16" s="15" t="s">
        <v>64</v>
      </c>
      <c r="F16" s="15" t="s">
        <v>66</v>
      </c>
    </row>
    <row r="17" spans="1:6" ht="28" x14ac:dyDescent="0.35">
      <c r="A17" s="14" t="s">
        <v>56</v>
      </c>
      <c r="B17" s="15" t="s">
        <v>57</v>
      </c>
      <c r="C17" s="15" t="s">
        <v>11</v>
      </c>
      <c r="D17" s="16">
        <v>21</v>
      </c>
      <c r="E17" s="15" t="s">
        <v>65</v>
      </c>
      <c r="F17" s="15" t="s">
        <v>58</v>
      </c>
    </row>
  </sheetData>
  <mergeCells count="3">
    <mergeCell ref="A1:F1"/>
    <mergeCell ref="A2:F2"/>
    <mergeCell ref="A14:F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Reconciliation Summary</vt:lpstr>
      <vt:lpstr>Issue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 Mullor</cp:lastModifiedBy>
  <cp:revision>0</cp:revision>
  <dcterms:created xsi:type="dcterms:W3CDTF">2026-08-25T12:03:10Z</dcterms:created>
  <dcterms:modified xsi:type="dcterms:W3CDTF">2026-08-25T12:37:41Z</dcterms:modified>
  <dc:language>en-US</dc:language>
</cp:coreProperties>
</file>